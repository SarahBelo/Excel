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ma Noite\Documents\"/>
    </mc:Choice>
  </mc:AlternateContent>
  <bookViews>
    <workbookView xWindow="0" yWindow="0" windowWidth="21600" windowHeight="9630" activeTab="2"/>
  </bookViews>
  <sheets>
    <sheet name="Planilha1" sheetId="1" r:id="rId1"/>
    <sheet name="Planilha2" sheetId="2" r:id="rId2"/>
    <sheet name="Planilh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H36" i="3"/>
  <c r="H35" i="3"/>
  <c r="H34" i="3"/>
  <c r="H33" i="3"/>
  <c r="H32" i="3"/>
  <c r="H31" i="3"/>
  <c r="H30" i="3"/>
  <c r="H29" i="3"/>
  <c r="H26" i="3"/>
  <c r="H28" i="3"/>
  <c r="H27" i="3"/>
  <c r="H25" i="3"/>
  <c r="H24" i="3"/>
  <c r="B67" i="3"/>
  <c r="B69" i="3"/>
  <c r="B68" i="3"/>
  <c r="E13" i="2"/>
  <c r="H40" i="3" l="1"/>
  <c r="H38" i="3"/>
  <c r="H39" i="3"/>
  <c r="E65" i="3" l="1"/>
  <c r="E64" i="3"/>
  <c r="E63" i="3"/>
  <c r="E62" i="3"/>
  <c r="E61" i="3"/>
  <c r="E60" i="3"/>
  <c r="E59" i="3"/>
  <c r="E58" i="3"/>
  <c r="E57" i="3"/>
  <c r="E56" i="3"/>
  <c r="E55" i="3"/>
  <c r="E54" i="3"/>
  <c r="E52" i="3"/>
  <c r="B63" i="3"/>
  <c r="B54" i="3"/>
  <c r="B53" i="3"/>
  <c r="E5" i="3"/>
  <c r="E48" i="3"/>
  <c r="B59" i="3" s="1"/>
  <c r="E47" i="3"/>
  <c r="B60" i="3" s="1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H7" i="3" s="1"/>
  <c r="E27" i="3"/>
  <c r="H10" i="3" s="1"/>
  <c r="E26" i="3"/>
  <c r="E25" i="3"/>
  <c r="E24" i="3"/>
  <c r="E23" i="3"/>
  <c r="E22" i="3"/>
  <c r="E21" i="3"/>
  <c r="H20" i="3" s="1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4" i="3"/>
  <c r="E53" i="3" s="1"/>
  <c r="F3" i="2"/>
  <c r="B62" i="3" l="1"/>
  <c r="H5" i="3"/>
  <c r="H8" i="3"/>
  <c r="H4" i="3"/>
  <c r="B65" i="3"/>
  <c r="H15" i="3"/>
  <c r="H14" i="3"/>
  <c r="B58" i="3"/>
  <c r="H6" i="3"/>
  <c r="H9" i="3"/>
  <c r="B64" i="3"/>
  <c r="H12" i="3"/>
  <c r="B56" i="3"/>
  <c r="B55" i="3"/>
  <c r="H13" i="3"/>
  <c r="B61" i="3"/>
  <c r="H11" i="3"/>
  <c r="B57" i="3"/>
  <c r="E15" i="2"/>
  <c r="E14" i="2"/>
  <c r="B15" i="2"/>
  <c r="B14" i="2"/>
  <c r="B13" i="2"/>
  <c r="F9" i="2"/>
  <c r="F10" i="2"/>
  <c r="F8" i="2"/>
  <c r="F7" i="2"/>
  <c r="F6" i="2"/>
  <c r="F5" i="2"/>
  <c r="F4" i="2"/>
  <c r="F3" i="1" l="1"/>
  <c r="F4" i="1" l="1"/>
  <c r="E4" i="1"/>
  <c r="E3" i="1"/>
  <c r="D6" i="1"/>
  <c r="D5" i="1"/>
  <c r="D4" i="1"/>
  <c r="D3" i="1"/>
  <c r="C6" i="1"/>
  <c r="C5" i="1"/>
  <c r="C4" i="1"/>
  <c r="C3" i="1"/>
  <c r="E6" i="1" l="1"/>
  <c r="F6" i="1" s="1"/>
  <c r="E5" i="1"/>
  <c r="F5" i="1" s="1"/>
  <c r="B10" i="1"/>
  <c r="B8" i="1"/>
  <c r="B9" i="1"/>
  <c r="B52" i="3"/>
  <c r="H3" i="3"/>
  <c r="H19" i="3" s="1"/>
  <c r="H17" i="3" l="1"/>
  <c r="H18" i="3"/>
</calcChain>
</file>

<file path=xl/sharedStrings.xml><?xml version="1.0" encoding="utf-8"?>
<sst xmlns="http://schemas.openxmlformats.org/spreadsheetml/2006/main" count="222" uniqueCount="75">
  <si>
    <t>FOLHA DE PAGAMENTO</t>
  </si>
  <si>
    <t>PEDRO</t>
  </si>
  <si>
    <t>CARLA</t>
  </si>
  <si>
    <t>ANA</t>
  </si>
  <si>
    <t>MARIA</t>
  </si>
  <si>
    <t>MEDIA DO SALARIO LIQUIDO</t>
  </si>
  <si>
    <t>MAIOR SALARIO LIQUIDO</t>
  </si>
  <si>
    <t>MENOR SALARIO LIQUIDO</t>
  </si>
  <si>
    <t>TABELA DOS PERCENTUAL</t>
  </si>
  <si>
    <t>INSS</t>
  </si>
  <si>
    <t>SALARIO BRUTO</t>
  </si>
  <si>
    <t>POSTO SINDICAL</t>
  </si>
  <si>
    <t>TOTAL DE DESCONTOS</t>
  </si>
  <si>
    <t>SALARIO LIQUIDO</t>
  </si>
  <si>
    <t>IMPOSTO SINDICAL</t>
  </si>
  <si>
    <t>Nome</t>
  </si>
  <si>
    <t>João</t>
  </si>
  <si>
    <t>Paulo</t>
  </si>
  <si>
    <t>Ana</t>
  </si>
  <si>
    <t>Região</t>
  </si>
  <si>
    <t>Sul</t>
  </si>
  <si>
    <t>Norte</t>
  </si>
  <si>
    <t>Leste</t>
  </si>
  <si>
    <t>Produto</t>
  </si>
  <si>
    <t>Lustre</t>
  </si>
  <si>
    <t>Luminária</t>
  </si>
  <si>
    <t>Lampada</t>
  </si>
  <si>
    <t>Quantidade</t>
  </si>
  <si>
    <t>Valor</t>
  </si>
  <si>
    <t>Total</t>
  </si>
  <si>
    <t>Relatorio Trimestral de Vendas</t>
  </si>
  <si>
    <t>Vendas por vendedor</t>
  </si>
  <si>
    <t>Total de Itens</t>
  </si>
  <si>
    <t>Tabela de Material de Desenho</t>
  </si>
  <si>
    <t>Mês</t>
  </si>
  <si>
    <t>Canson A3 300g</t>
  </si>
  <si>
    <t>Lapis 2B</t>
  </si>
  <si>
    <t>Lapis 6B</t>
  </si>
  <si>
    <t>Copic marker</t>
  </si>
  <si>
    <t>Aquarela</t>
  </si>
  <si>
    <t>Lapis de cor</t>
  </si>
  <si>
    <t>Borracha</t>
  </si>
  <si>
    <t>Tinta Oleo</t>
  </si>
  <si>
    <t>Tela</t>
  </si>
  <si>
    <t>Janeiro</t>
  </si>
  <si>
    <t>Fevereiro</t>
  </si>
  <si>
    <t>Março</t>
  </si>
  <si>
    <t>Abril</t>
  </si>
  <si>
    <t>Julho</t>
  </si>
  <si>
    <t>Novembro</t>
  </si>
  <si>
    <t>Outubro</t>
  </si>
  <si>
    <t>Junho</t>
  </si>
  <si>
    <t>Agosto</t>
  </si>
  <si>
    <t>Tripé</t>
  </si>
  <si>
    <t>Pinceis</t>
  </si>
  <si>
    <t>Dezembro</t>
  </si>
  <si>
    <t>Mesa Digitilizadora</t>
  </si>
  <si>
    <t>Caneta Digital</t>
  </si>
  <si>
    <t>Luva</t>
  </si>
  <si>
    <t>Gastos por mês</t>
  </si>
  <si>
    <t>Maio</t>
  </si>
  <si>
    <t>Setembro</t>
  </si>
  <si>
    <t>Valor de materiais comprados no ano</t>
  </si>
  <si>
    <t>Quantidade de materiais</t>
  </si>
  <si>
    <t>Media de valor de materiais</t>
  </si>
  <si>
    <t>Valor do material mais barato</t>
  </si>
  <si>
    <t>Valor do material mais caro</t>
  </si>
  <si>
    <t>Media de gasto por mês</t>
  </si>
  <si>
    <t>Valor que mais gastou no mês</t>
  </si>
  <si>
    <t>Valor que menos gastou no mês</t>
  </si>
  <si>
    <t>Quantidade de materiais comprados por mês</t>
  </si>
  <si>
    <t>Média de materiais comprados por mês</t>
  </si>
  <si>
    <t>Máximo de materiais</t>
  </si>
  <si>
    <t>Minimo de mantidade</t>
  </si>
  <si>
    <t>Valor total (anual)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</si>
</sst>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2" borderId="1" xfId="0" applyFill="1" applyBorder="1"/>
    <xf numFmtId="44" fontId="0" fillId="2" borderId="1" xfId="1" applyFont="1" applyFill="1" applyBorder="1"/>
    <xf numFmtId="44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44" fontId="0" fillId="4" borderId="1" xfId="0" applyNumberFormat="1" applyFill="1" applyBorder="1"/>
    <xf numFmtId="9" fontId="0" fillId="3" borderId="1" xfId="2" applyFont="1" applyFill="1" applyBorder="1"/>
    <xf numFmtId="0" fontId="0" fillId="5" borderId="1" xfId="0" applyFill="1" applyBorder="1" applyAlignment="1">
      <alignment horizontal="center" vertical="center" wrapText="1"/>
    </xf>
    <xf numFmtId="44" fontId="0" fillId="0" borderId="0" xfId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44" fontId="0" fillId="0" borderId="0" xfId="0" applyNumberFormat="1"/>
    <xf numFmtId="44" fontId="0" fillId="0" borderId="1" xfId="0" applyNumberFormat="1" applyBorder="1"/>
    <xf numFmtId="44" fontId="0" fillId="0" borderId="1" xfId="0" applyNumberFormat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4" fontId="0" fillId="8" borderId="1" xfId="1" applyFont="1" applyFill="1" applyBorder="1" applyAlignment="1">
      <alignment horizontal="center" vertical="center"/>
    </xf>
    <xf numFmtId="44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44" fontId="0" fillId="9" borderId="1" xfId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4" fontId="0" fillId="3" borderId="1" xfId="1" applyFont="1" applyFill="1" applyBorder="1"/>
    <xf numFmtId="44" fontId="0" fillId="3" borderId="1" xfId="0" applyNumberFormat="1" applyFill="1" applyBorder="1"/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44" fontId="0" fillId="12" borderId="1" xfId="1" applyFont="1" applyFill="1" applyBorder="1" applyAlignment="1">
      <alignment horizontal="center" vertical="center"/>
    </xf>
    <xf numFmtId="4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44" fontId="0" fillId="12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Normal="100" workbookViewId="0">
      <selection activeCell="B10" sqref="B10"/>
    </sheetView>
  </sheetViews>
  <sheetFormatPr defaultRowHeight="15" x14ac:dyDescent="0.25"/>
  <cols>
    <col min="1" max="1" width="25.7109375" customWidth="1"/>
    <col min="2" max="2" width="12" customWidth="1"/>
    <col min="3" max="3" width="11.140625" customWidth="1"/>
    <col min="4" max="4" width="10.7109375" customWidth="1"/>
    <col min="5" max="5" width="11.42578125" customWidth="1"/>
    <col min="6" max="6" width="13" customWidth="1"/>
  </cols>
  <sheetData>
    <row r="1" spans="1:6" x14ac:dyDescent="0.25">
      <c r="A1" s="22" t="s">
        <v>0</v>
      </c>
      <c r="B1" s="22"/>
      <c r="C1" s="22"/>
      <c r="D1" s="22"/>
      <c r="E1" s="22"/>
      <c r="F1" s="22"/>
    </row>
    <row r="2" spans="1:6" ht="26.25" customHeight="1" x14ac:dyDescent="0.25">
      <c r="A2" s="8" t="s">
        <v>15</v>
      </c>
      <c r="B2" s="8" t="s">
        <v>10</v>
      </c>
      <c r="C2" s="8" t="s">
        <v>9</v>
      </c>
      <c r="D2" s="8" t="s">
        <v>11</v>
      </c>
      <c r="E2" s="8" t="s">
        <v>12</v>
      </c>
      <c r="F2" s="8" t="s">
        <v>13</v>
      </c>
    </row>
    <row r="3" spans="1:6" x14ac:dyDescent="0.25">
      <c r="A3" s="1" t="s">
        <v>1</v>
      </c>
      <c r="B3" s="2">
        <v>1200</v>
      </c>
      <c r="C3" s="3">
        <f>B3*B14</f>
        <v>144</v>
      </c>
      <c r="D3" s="3">
        <f>B3*B15</f>
        <v>12</v>
      </c>
      <c r="E3" s="3">
        <f>C3+D3</f>
        <v>156</v>
      </c>
      <c r="F3" s="3">
        <f>B3-E3</f>
        <v>1044</v>
      </c>
    </row>
    <row r="4" spans="1:6" x14ac:dyDescent="0.25">
      <c r="A4" s="1" t="s">
        <v>2</v>
      </c>
      <c r="B4" s="2">
        <v>1212</v>
      </c>
      <c r="C4" s="3">
        <f>B4*B14</f>
        <v>145.44</v>
      </c>
      <c r="D4" s="3">
        <f>B4*B15</f>
        <v>12.120000000000001</v>
      </c>
      <c r="E4" s="3">
        <f>C4+D4</f>
        <v>157.56</v>
      </c>
      <c r="F4" s="3">
        <f>B4-E4</f>
        <v>1054.44</v>
      </c>
    </row>
    <row r="5" spans="1:6" x14ac:dyDescent="0.25">
      <c r="A5" s="1" t="s">
        <v>3</v>
      </c>
      <c r="B5" s="2">
        <v>1100</v>
      </c>
      <c r="C5" s="3">
        <f>B5*B14</f>
        <v>132</v>
      </c>
      <c r="D5" s="3">
        <f>B5*B15</f>
        <v>11</v>
      </c>
      <c r="E5" s="3">
        <f>C5+D5</f>
        <v>143</v>
      </c>
      <c r="F5" s="3">
        <f>B5-E5</f>
        <v>957</v>
      </c>
    </row>
    <row r="6" spans="1:6" x14ac:dyDescent="0.25">
      <c r="A6" s="1" t="s">
        <v>4</v>
      </c>
      <c r="B6" s="2">
        <v>600</v>
      </c>
      <c r="C6" s="3">
        <f>B6*B14</f>
        <v>72</v>
      </c>
      <c r="D6" s="3">
        <f>B6*B15</f>
        <v>6</v>
      </c>
      <c r="E6" s="3">
        <f>C6+D6</f>
        <v>78</v>
      </c>
      <c r="F6" s="3">
        <f>B6-E6</f>
        <v>522</v>
      </c>
    </row>
    <row r="8" spans="1:6" x14ac:dyDescent="0.25">
      <c r="A8" s="5" t="s">
        <v>5</v>
      </c>
      <c r="B8" s="6">
        <f>AVERAGE(F3:F6)</f>
        <v>894.36</v>
      </c>
    </row>
    <row r="9" spans="1:6" x14ac:dyDescent="0.25">
      <c r="A9" s="5" t="s">
        <v>6</v>
      </c>
      <c r="B9" s="6">
        <f>MAX(F3:F6)</f>
        <v>1054.44</v>
      </c>
    </row>
    <row r="10" spans="1:6" x14ac:dyDescent="0.25">
      <c r="A10" s="5" t="s">
        <v>7</v>
      </c>
      <c r="B10" s="6">
        <f>MIN(F3:F6)</f>
        <v>522</v>
      </c>
    </row>
    <row r="13" spans="1:6" x14ac:dyDescent="0.25">
      <c r="A13" s="23" t="s">
        <v>8</v>
      </c>
      <c r="B13" s="23"/>
    </row>
    <row r="14" spans="1:6" x14ac:dyDescent="0.25">
      <c r="A14" s="4" t="s">
        <v>9</v>
      </c>
      <c r="B14" s="7">
        <v>0.12</v>
      </c>
    </row>
    <row r="15" spans="1:6" x14ac:dyDescent="0.25">
      <c r="A15" s="4" t="s">
        <v>14</v>
      </c>
      <c r="B15" s="7">
        <v>0.01</v>
      </c>
    </row>
  </sheetData>
  <mergeCells count="2">
    <mergeCell ref="A1:F1"/>
    <mergeCell ref="A13:B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="115" zoomScaleNormal="115" workbookViewId="0">
      <selection activeCell="E14" sqref="E14"/>
    </sheetView>
  </sheetViews>
  <sheetFormatPr defaultRowHeight="15" x14ac:dyDescent="0.25"/>
  <cols>
    <col min="1" max="1" width="12.5703125" customWidth="1"/>
    <col min="2" max="2" width="15.5703125" customWidth="1"/>
    <col min="3" max="3" width="12.42578125" customWidth="1"/>
    <col min="4" max="4" width="11.7109375" customWidth="1"/>
    <col min="5" max="5" width="13.28515625" customWidth="1"/>
    <col min="6" max="6" width="15.85546875" customWidth="1"/>
  </cols>
  <sheetData>
    <row r="1" spans="1:6" x14ac:dyDescent="0.25">
      <c r="A1" s="24" t="s">
        <v>30</v>
      </c>
      <c r="B1" s="24"/>
      <c r="C1" s="24"/>
      <c r="D1" s="24"/>
      <c r="E1" s="24"/>
      <c r="F1" s="24"/>
    </row>
    <row r="2" spans="1:6" x14ac:dyDescent="0.25">
      <c r="A2" s="11" t="s">
        <v>15</v>
      </c>
      <c r="B2" s="11" t="s">
        <v>19</v>
      </c>
      <c r="C2" s="11" t="s">
        <v>23</v>
      </c>
      <c r="D2" s="11" t="s">
        <v>27</v>
      </c>
      <c r="E2" s="11" t="s">
        <v>28</v>
      </c>
      <c r="F2" s="11" t="s">
        <v>29</v>
      </c>
    </row>
    <row r="3" spans="1:6" x14ac:dyDescent="0.25">
      <c r="A3" s="11" t="s">
        <v>16</v>
      </c>
      <c r="B3" s="11" t="s">
        <v>20</v>
      </c>
      <c r="C3" s="11" t="s">
        <v>24</v>
      </c>
      <c r="D3" s="11">
        <v>32</v>
      </c>
      <c r="E3" s="12">
        <v>2500</v>
      </c>
      <c r="F3" s="13">
        <f>E3*D3</f>
        <v>80000</v>
      </c>
    </row>
    <row r="4" spans="1:6" x14ac:dyDescent="0.25">
      <c r="A4" s="11" t="s">
        <v>16</v>
      </c>
      <c r="B4" s="11" t="s">
        <v>20</v>
      </c>
      <c r="C4" s="11" t="s">
        <v>24</v>
      </c>
      <c r="D4" s="11">
        <v>45</v>
      </c>
      <c r="E4" s="12">
        <v>2500</v>
      </c>
      <c r="F4" s="13">
        <f t="shared" ref="F4:F10" si="0">E4*D4</f>
        <v>112500</v>
      </c>
    </row>
    <row r="5" spans="1:6" x14ac:dyDescent="0.25">
      <c r="A5" s="11" t="s">
        <v>17</v>
      </c>
      <c r="B5" s="11" t="s">
        <v>21</v>
      </c>
      <c r="C5" s="11" t="s">
        <v>25</v>
      </c>
      <c r="D5" s="11">
        <v>60</v>
      </c>
      <c r="E5" s="12">
        <v>1800</v>
      </c>
      <c r="F5" s="13">
        <f t="shared" si="0"/>
        <v>108000</v>
      </c>
    </row>
    <row r="6" spans="1:6" x14ac:dyDescent="0.25">
      <c r="A6" s="11" t="s">
        <v>17</v>
      </c>
      <c r="B6" s="11" t="s">
        <v>21</v>
      </c>
      <c r="C6" s="11" t="s">
        <v>25</v>
      </c>
      <c r="D6" s="11">
        <v>40</v>
      </c>
      <c r="E6" s="12">
        <v>1800</v>
      </c>
      <c r="F6" s="13">
        <f t="shared" si="0"/>
        <v>72000</v>
      </c>
    </row>
    <row r="7" spans="1:6" x14ac:dyDescent="0.25">
      <c r="A7" s="11" t="s">
        <v>16</v>
      </c>
      <c r="B7" s="11" t="s">
        <v>20</v>
      </c>
      <c r="C7" s="11" t="s">
        <v>24</v>
      </c>
      <c r="D7" s="11">
        <v>44</v>
      </c>
      <c r="E7" s="12">
        <v>2500</v>
      </c>
      <c r="F7" s="13">
        <f t="shared" si="0"/>
        <v>110000</v>
      </c>
    </row>
    <row r="8" spans="1:6" x14ac:dyDescent="0.25">
      <c r="A8" s="11" t="s">
        <v>17</v>
      </c>
      <c r="B8" s="11" t="s">
        <v>21</v>
      </c>
      <c r="C8" s="11" t="s">
        <v>25</v>
      </c>
      <c r="D8" s="11">
        <v>42</v>
      </c>
      <c r="E8" s="12">
        <v>1800</v>
      </c>
      <c r="F8" s="13">
        <f t="shared" si="0"/>
        <v>75600</v>
      </c>
    </row>
    <row r="9" spans="1:6" x14ac:dyDescent="0.25">
      <c r="A9" s="11" t="s">
        <v>18</v>
      </c>
      <c r="B9" s="11" t="s">
        <v>22</v>
      </c>
      <c r="C9" s="11" t="s">
        <v>26</v>
      </c>
      <c r="D9" s="11">
        <v>20</v>
      </c>
      <c r="E9" s="12">
        <v>300</v>
      </c>
      <c r="F9" s="13">
        <f t="shared" si="0"/>
        <v>6000</v>
      </c>
    </row>
    <row r="10" spans="1:6" x14ac:dyDescent="0.25">
      <c r="A10" s="11" t="s">
        <v>18</v>
      </c>
      <c r="B10" s="11" t="s">
        <v>22</v>
      </c>
      <c r="C10" s="11" t="s">
        <v>26</v>
      </c>
      <c r="D10" s="11">
        <v>22</v>
      </c>
      <c r="E10" s="12">
        <v>300</v>
      </c>
      <c r="F10" s="13">
        <f t="shared" si="0"/>
        <v>6600</v>
      </c>
    </row>
    <row r="11" spans="1:6" x14ac:dyDescent="0.25">
      <c r="D11" s="9"/>
      <c r="E11" s="9"/>
    </row>
    <row r="12" spans="1:6" x14ac:dyDescent="0.25">
      <c r="A12" s="25" t="s">
        <v>31</v>
      </c>
      <c r="B12" s="25"/>
      <c r="C12" s="10"/>
      <c r="D12" s="26" t="s">
        <v>32</v>
      </c>
      <c r="E12" s="26"/>
    </row>
    <row r="13" spans="1:6" x14ac:dyDescent="0.25">
      <c r="A13" s="14" t="s">
        <v>18</v>
      </c>
      <c r="B13" s="15">
        <f>SUMIF(A3:A10,A13,F3:F10)</f>
        <v>12600</v>
      </c>
      <c r="C13" s="10"/>
      <c r="D13" s="15" t="s">
        <v>24</v>
      </c>
      <c r="E13" s="16">
        <f>SUMIF(C3:C10,D13,D3:D10)</f>
        <v>121</v>
      </c>
    </row>
    <row r="14" spans="1:6" x14ac:dyDescent="0.25">
      <c r="A14" s="14" t="s">
        <v>17</v>
      </c>
      <c r="B14" s="15">
        <f>SUMIF(A3:A10,A14,F3:F10)</f>
        <v>255600</v>
      </c>
      <c r="C14" s="10"/>
      <c r="D14" s="15" t="s">
        <v>25</v>
      </c>
      <c r="E14" s="16">
        <f>SUMIF(C3:C10,D14,D3:D10)</f>
        <v>142</v>
      </c>
    </row>
    <row r="15" spans="1:6" x14ac:dyDescent="0.25">
      <c r="A15" s="14" t="s">
        <v>16</v>
      </c>
      <c r="B15" s="15">
        <f>SUMIF(A3:A10,A15,F3:F10)</f>
        <v>302500</v>
      </c>
      <c r="C15" s="10"/>
      <c r="D15" s="15" t="s">
        <v>26</v>
      </c>
      <c r="E15" s="16">
        <f>SUMIF(C3:C10,D15,D3:D10)</f>
        <v>42</v>
      </c>
    </row>
  </sheetData>
  <mergeCells count="3">
    <mergeCell ref="A1:F1"/>
    <mergeCell ref="A12:B12"/>
    <mergeCell ref="D12:E1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10" workbookViewId="0">
      <selection activeCell="G56" sqref="G56"/>
    </sheetView>
  </sheetViews>
  <sheetFormatPr defaultRowHeight="15" x14ac:dyDescent="0.25"/>
  <cols>
    <col min="1" max="1" width="29.85546875" customWidth="1"/>
    <col min="2" max="2" width="18.5703125" customWidth="1"/>
    <col min="3" max="3" width="12.28515625" customWidth="1"/>
    <col min="4" max="4" width="18.28515625" customWidth="1"/>
    <col min="5" max="5" width="18.42578125" customWidth="1"/>
    <col min="7" max="7" width="36.42578125" customWidth="1"/>
    <col min="8" max="8" width="13.42578125" customWidth="1"/>
  </cols>
  <sheetData>
    <row r="1" spans="1:8" x14ac:dyDescent="0.25">
      <c r="A1" s="32" t="s">
        <v>33</v>
      </c>
      <c r="B1" s="32"/>
      <c r="C1" s="32"/>
      <c r="D1" s="32"/>
      <c r="E1" s="32"/>
    </row>
    <row r="2" spans="1:8" x14ac:dyDescent="0.25">
      <c r="A2" s="31" t="s">
        <v>23</v>
      </c>
      <c r="B2" s="31" t="s">
        <v>34</v>
      </c>
      <c r="C2" s="31" t="s">
        <v>27</v>
      </c>
      <c r="D2" s="31" t="s">
        <v>28</v>
      </c>
      <c r="E2" s="31" t="s">
        <v>29</v>
      </c>
      <c r="G2" s="37" t="s">
        <v>59</v>
      </c>
      <c r="H2" s="38"/>
    </row>
    <row r="3" spans="1:8" x14ac:dyDescent="0.25">
      <c r="A3" s="17" t="s">
        <v>35</v>
      </c>
      <c r="B3" s="17" t="s">
        <v>44</v>
      </c>
      <c r="C3" s="17">
        <v>3</v>
      </c>
      <c r="D3" s="12">
        <v>31.09</v>
      </c>
      <c r="E3" s="13">
        <f t="shared" ref="E3:E48" si="0">C3*D3</f>
        <v>93.27</v>
      </c>
      <c r="G3" s="39" t="s">
        <v>44</v>
      </c>
      <c r="H3" s="40">
        <f>SUMIF(B3:B48,G3,E3:E48)</f>
        <v>2266.5300000000002</v>
      </c>
    </row>
    <row r="4" spans="1:8" x14ac:dyDescent="0.25">
      <c r="A4" s="31" t="s">
        <v>36</v>
      </c>
      <c r="B4" s="31" t="s">
        <v>61</v>
      </c>
      <c r="C4" s="31">
        <v>6</v>
      </c>
      <c r="D4" s="33">
        <v>2.5</v>
      </c>
      <c r="E4" s="34">
        <f t="shared" si="0"/>
        <v>15</v>
      </c>
      <c r="G4" s="20" t="s">
        <v>45</v>
      </c>
      <c r="H4" s="21">
        <f>SUMIF(B3:B48,G4,E3:E48)</f>
        <v>1696.89</v>
      </c>
    </row>
    <row r="5" spans="1:8" x14ac:dyDescent="0.25">
      <c r="A5" s="17" t="s">
        <v>37</v>
      </c>
      <c r="B5" s="17" t="s">
        <v>60</v>
      </c>
      <c r="C5" s="17">
        <v>15</v>
      </c>
      <c r="D5" s="12">
        <v>3.5</v>
      </c>
      <c r="E5" s="13">
        <f t="shared" si="0"/>
        <v>52.5</v>
      </c>
      <c r="G5" s="39" t="s">
        <v>46</v>
      </c>
      <c r="H5" s="40">
        <f>SUMIF(B3:B48,G5,E3:E48)</f>
        <v>2102.41</v>
      </c>
    </row>
    <row r="6" spans="1:8" x14ac:dyDescent="0.25">
      <c r="A6" s="31" t="s">
        <v>38</v>
      </c>
      <c r="B6" s="31" t="s">
        <v>44</v>
      </c>
      <c r="C6" s="31">
        <v>2</v>
      </c>
      <c r="D6" s="33">
        <v>683.33</v>
      </c>
      <c r="E6" s="34">
        <f t="shared" si="0"/>
        <v>1366.66</v>
      </c>
      <c r="G6" s="20" t="s">
        <v>47</v>
      </c>
      <c r="H6" s="21">
        <f>SUMIF(B3:B48,G6,E3:E48)</f>
        <v>1196.94</v>
      </c>
    </row>
    <row r="7" spans="1:8" x14ac:dyDescent="0.25">
      <c r="A7" s="17" t="s">
        <v>39</v>
      </c>
      <c r="B7" s="17" t="s">
        <v>45</v>
      </c>
      <c r="C7" s="17">
        <v>3</v>
      </c>
      <c r="D7" s="12">
        <v>450</v>
      </c>
      <c r="E7" s="13">
        <f t="shared" si="0"/>
        <v>1350</v>
      </c>
      <c r="G7" s="39" t="s">
        <v>60</v>
      </c>
      <c r="H7" s="40">
        <f>SUMIF(B3:B48,G7,E3:E48)</f>
        <v>2005.5</v>
      </c>
    </row>
    <row r="8" spans="1:8" x14ac:dyDescent="0.25">
      <c r="A8" s="31" t="s">
        <v>40</v>
      </c>
      <c r="B8" s="31" t="s">
        <v>61</v>
      </c>
      <c r="C8" s="31">
        <v>3</v>
      </c>
      <c r="D8" s="33">
        <v>346</v>
      </c>
      <c r="E8" s="34">
        <f t="shared" si="0"/>
        <v>1038</v>
      </c>
      <c r="G8" s="20" t="s">
        <v>51</v>
      </c>
      <c r="H8" s="21">
        <f>SUMIF(B3:B48,G8,E3:E48)</f>
        <v>769.97</v>
      </c>
    </row>
    <row r="9" spans="1:8" x14ac:dyDescent="0.25">
      <c r="A9" s="17" t="s">
        <v>35</v>
      </c>
      <c r="B9" s="17" t="s">
        <v>45</v>
      </c>
      <c r="C9" s="17">
        <v>1</v>
      </c>
      <c r="D9" s="12">
        <v>34.89</v>
      </c>
      <c r="E9" s="13">
        <f t="shared" si="0"/>
        <v>34.89</v>
      </c>
      <c r="G9" s="39" t="s">
        <v>48</v>
      </c>
      <c r="H9" s="40">
        <f>SUMIF(B3:B48,G9,E3:E48)</f>
        <v>4363.2299999999996</v>
      </c>
    </row>
    <row r="10" spans="1:8" x14ac:dyDescent="0.25">
      <c r="A10" s="31" t="s">
        <v>37</v>
      </c>
      <c r="B10" s="31" t="s">
        <v>45</v>
      </c>
      <c r="C10" s="31">
        <v>3</v>
      </c>
      <c r="D10" s="33">
        <v>4</v>
      </c>
      <c r="E10" s="34">
        <f t="shared" si="0"/>
        <v>12</v>
      </c>
      <c r="G10" s="20" t="s">
        <v>52</v>
      </c>
      <c r="H10" s="21">
        <f>SUMIF(B3:B48,G10,E3:E48)</f>
        <v>2450</v>
      </c>
    </row>
    <row r="11" spans="1:8" x14ac:dyDescent="0.25">
      <c r="A11" s="17" t="s">
        <v>39</v>
      </c>
      <c r="B11" s="17" t="s">
        <v>46</v>
      </c>
      <c r="C11" s="17">
        <v>2</v>
      </c>
      <c r="D11" s="12">
        <v>525</v>
      </c>
      <c r="E11" s="13">
        <f t="shared" si="0"/>
        <v>1050</v>
      </c>
      <c r="G11" s="39" t="s">
        <v>61</v>
      </c>
      <c r="H11" s="40">
        <f>SUMIF(B3:B48,G11,E3:E48)</f>
        <v>3928.99</v>
      </c>
    </row>
    <row r="12" spans="1:8" x14ac:dyDescent="0.25">
      <c r="A12" s="31" t="s">
        <v>41</v>
      </c>
      <c r="B12" s="31" t="s">
        <v>45</v>
      </c>
      <c r="C12" s="31">
        <v>4</v>
      </c>
      <c r="D12" s="33">
        <v>15</v>
      </c>
      <c r="E12" s="34">
        <f t="shared" si="0"/>
        <v>60</v>
      </c>
      <c r="G12" s="20" t="s">
        <v>52</v>
      </c>
      <c r="H12" s="21">
        <f>SUMIF(B3:B48,G12,E3:E48)</f>
        <v>2450</v>
      </c>
    </row>
    <row r="13" spans="1:8" x14ac:dyDescent="0.25">
      <c r="A13" s="17" t="s">
        <v>40</v>
      </c>
      <c r="B13" s="17" t="s">
        <v>47</v>
      </c>
      <c r="C13" s="17">
        <v>1</v>
      </c>
      <c r="D13" s="12">
        <v>378</v>
      </c>
      <c r="E13" s="13">
        <f t="shared" si="0"/>
        <v>378</v>
      </c>
      <c r="G13" s="39" t="s">
        <v>50</v>
      </c>
      <c r="H13" s="40">
        <f>SUMIF(B3:B48,G13,E3:E48)</f>
        <v>2964.1</v>
      </c>
    </row>
    <row r="14" spans="1:8" x14ac:dyDescent="0.25">
      <c r="A14" s="31" t="s">
        <v>38</v>
      </c>
      <c r="B14" s="31" t="s">
        <v>48</v>
      </c>
      <c r="C14" s="31">
        <v>2</v>
      </c>
      <c r="D14" s="33">
        <v>1345</v>
      </c>
      <c r="E14" s="34">
        <f t="shared" si="0"/>
        <v>2690</v>
      </c>
      <c r="G14" s="20" t="s">
        <v>49</v>
      </c>
      <c r="H14" s="21">
        <f>SUMIF(B3:B48,G14,E3:E48)</f>
        <v>2302.6</v>
      </c>
    </row>
    <row r="15" spans="1:8" x14ac:dyDescent="0.25">
      <c r="A15" s="17" t="s">
        <v>37</v>
      </c>
      <c r="B15" s="17" t="s">
        <v>46</v>
      </c>
      <c r="C15" s="17">
        <v>2</v>
      </c>
      <c r="D15" s="12">
        <v>3.75</v>
      </c>
      <c r="E15" s="13">
        <f t="shared" si="0"/>
        <v>7.5</v>
      </c>
      <c r="G15" s="39" t="s">
        <v>55</v>
      </c>
      <c r="H15" s="40">
        <f>SUMIF(B3:B48,G15,E3:E48)</f>
        <v>3727</v>
      </c>
    </row>
    <row r="16" spans="1:8" x14ac:dyDescent="0.25">
      <c r="A16" s="31" t="s">
        <v>39</v>
      </c>
      <c r="B16" s="31" t="s">
        <v>49</v>
      </c>
      <c r="C16" s="31">
        <v>1</v>
      </c>
      <c r="D16" s="33">
        <v>480</v>
      </c>
      <c r="E16" s="34">
        <f t="shared" si="0"/>
        <v>480</v>
      </c>
    </row>
    <row r="17" spans="1:8" x14ac:dyDescent="0.25">
      <c r="A17" s="17" t="s">
        <v>41</v>
      </c>
      <c r="B17" s="17" t="s">
        <v>47</v>
      </c>
      <c r="C17" s="17">
        <v>2</v>
      </c>
      <c r="D17" s="12">
        <v>17.5</v>
      </c>
      <c r="E17" s="13">
        <f t="shared" si="0"/>
        <v>35</v>
      </c>
      <c r="G17" s="20" t="s">
        <v>67</v>
      </c>
      <c r="H17" s="28">
        <f>AVERAGE(H3:H15)</f>
        <v>2478.7815384615383</v>
      </c>
    </row>
    <row r="18" spans="1:8" x14ac:dyDescent="0.25">
      <c r="A18" s="31" t="s">
        <v>35</v>
      </c>
      <c r="B18" s="31" t="s">
        <v>46</v>
      </c>
      <c r="C18" s="31">
        <v>9</v>
      </c>
      <c r="D18" s="33">
        <v>25.99</v>
      </c>
      <c r="E18" s="34">
        <f t="shared" si="0"/>
        <v>233.91</v>
      </c>
      <c r="G18" s="39" t="s">
        <v>68</v>
      </c>
      <c r="H18" s="41">
        <f>MAX(H3:H15)</f>
        <v>4363.2299999999996</v>
      </c>
    </row>
    <row r="19" spans="1:8" x14ac:dyDescent="0.25">
      <c r="A19" s="17" t="s">
        <v>39</v>
      </c>
      <c r="B19" s="17" t="s">
        <v>50</v>
      </c>
      <c r="C19" s="17">
        <v>3</v>
      </c>
      <c r="D19" s="12">
        <v>415</v>
      </c>
      <c r="E19" s="13">
        <f t="shared" si="0"/>
        <v>1245</v>
      </c>
      <c r="G19" s="20" t="s">
        <v>69</v>
      </c>
      <c r="H19" s="28">
        <f>MIN(H3:H15)</f>
        <v>769.97</v>
      </c>
    </row>
    <row r="20" spans="1:8" x14ac:dyDescent="0.25">
      <c r="A20" s="31" t="s">
        <v>40</v>
      </c>
      <c r="B20" s="31" t="s">
        <v>48</v>
      </c>
      <c r="C20" s="31">
        <v>2</v>
      </c>
      <c r="D20" s="33">
        <v>325</v>
      </c>
      <c r="E20" s="34">
        <f t="shared" si="0"/>
        <v>650</v>
      </c>
      <c r="G20" s="39" t="s">
        <v>74</v>
      </c>
      <c r="H20" s="41">
        <f>SUM(E3:E48)</f>
        <v>29774.159999999996</v>
      </c>
    </row>
    <row r="21" spans="1:8" x14ac:dyDescent="0.25">
      <c r="A21" s="17" t="s">
        <v>37</v>
      </c>
      <c r="B21" s="17" t="s">
        <v>48</v>
      </c>
      <c r="C21" s="17">
        <v>7</v>
      </c>
      <c r="D21" s="12">
        <v>3.25</v>
      </c>
      <c r="E21" s="13">
        <f t="shared" si="0"/>
        <v>22.75</v>
      </c>
    </row>
    <row r="22" spans="1:8" x14ac:dyDescent="0.25">
      <c r="A22" s="31" t="s">
        <v>41</v>
      </c>
      <c r="B22" s="31" t="s">
        <v>46</v>
      </c>
      <c r="C22" s="31">
        <v>1</v>
      </c>
      <c r="D22" s="33">
        <v>18</v>
      </c>
      <c r="E22" s="34">
        <f t="shared" si="0"/>
        <v>18</v>
      </c>
    </row>
    <row r="23" spans="1:8" x14ac:dyDescent="0.25">
      <c r="A23" s="17" t="s">
        <v>35</v>
      </c>
      <c r="B23" s="17" t="s">
        <v>49</v>
      </c>
      <c r="C23" s="17">
        <v>4</v>
      </c>
      <c r="D23" s="12">
        <v>35.9</v>
      </c>
      <c r="E23" s="13">
        <f t="shared" si="0"/>
        <v>143.6</v>
      </c>
      <c r="G23" s="42" t="s">
        <v>70</v>
      </c>
      <c r="H23" s="42"/>
    </row>
    <row r="24" spans="1:8" x14ac:dyDescent="0.25">
      <c r="A24" s="31" t="s">
        <v>35</v>
      </c>
      <c r="B24" s="31" t="s">
        <v>48</v>
      </c>
      <c r="C24" s="31">
        <v>1</v>
      </c>
      <c r="D24" s="33">
        <v>37.700000000000003</v>
      </c>
      <c r="E24" s="34">
        <f t="shared" si="0"/>
        <v>37.700000000000003</v>
      </c>
      <c r="G24" s="43" t="s">
        <v>44</v>
      </c>
      <c r="H24" s="43">
        <f>SUMIF(B3:B48,G24,C3:C48)</f>
        <v>15</v>
      </c>
    </row>
    <row r="25" spans="1:8" x14ac:dyDescent="0.25">
      <c r="A25" s="17" t="s">
        <v>38</v>
      </c>
      <c r="B25" s="17" t="s">
        <v>61</v>
      </c>
      <c r="C25" s="17">
        <v>1</v>
      </c>
      <c r="D25" s="12">
        <v>2875.99</v>
      </c>
      <c r="E25" s="13">
        <f t="shared" si="0"/>
        <v>2875.99</v>
      </c>
      <c r="G25" s="35" t="s">
        <v>45</v>
      </c>
      <c r="H25" s="35">
        <f>SUMIF(B3:B48,G25,C3:C48)</f>
        <v>13</v>
      </c>
    </row>
    <row r="26" spans="1:8" x14ac:dyDescent="0.25">
      <c r="A26" s="31" t="s">
        <v>43</v>
      </c>
      <c r="B26" s="31" t="s">
        <v>44</v>
      </c>
      <c r="C26" s="31">
        <v>9</v>
      </c>
      <c r="D26" s="33">
        <v>89</v>
      </c>
      <c r="E26" s="34">
        <f t="shared" si="0"/>
        <v>801</v>
      </c>
      <c r="G26" s="43" t="s">
        <v>46</v>
      </c>
      <c r="H26" s="43">
        <f>SUMIF(B3:B48,G26,C3:C48)</f>
        <v>16</v>
      </c>
    </row>
    <row r="27" spans="1:8" x14ac:dyDescent="0.25">
      <c r="A27" s="17" t="s">
        <v>39</v>
      </c>
      <c r="B27" s="17" t="s">
        <v>52</v>
      </c>
      <c r="C27" s="17">
        <v>1</v>
      </c>
      <c r="D27" s="12">
        <v>515</v>
      </c>
      <c r="E27" s="13">
        <f t="shared" si="0"/>
        <v>515</v>
      </c>
      <c r="G27" s="20" t="s">
        <v>47</v>
      </c>
      <c r="H27" s="19">
        <f>SUMIF(B3:B48,G27,C3:C48)</f>
        <v>17</v>
      </c>
    </row>
    <row r="28" spans="1:8" x14ac:dyDescent="0.25">
      <c r="A28" s="31" t="s">
        <v>42</v>
      </c>
      <c r="B28" s="31" t="s">
        <v>60</v>
      </c>
      <c r="C28" s="31">
        <v>3</v>
      </c>
      <c r="D28" s="33">
        <v>651</v>
      </c>
      <c r="E28" s="34">
        <f t="shared" si="0"/>
        <v>1953</v>
      </c>
      <c r="G28" s="43" t="s">
        <v>60</v>
      </c>
      <c r="H28" s="43">
        <f>SUMIF(B3:B48,G28,C3:C48)</f>
        <v>18</v>
      </c>
    </row>
    <row r="29" spans="1:8" x14ac:dyDescent="0.25">
      <c r="A29" s="17" t="s">
        <v>43</v>
      </c>
      <c r="B29" s="17" t="s">
        <v>45</v>
      </c>
      <c r="C29" s="17">
        <v>2</v>
      </c>
      <c r="D29" s="12">
        <v>120</v>
      </c>
      <c r="E29" s="13">
        <f t="shared" si="0"/>
        <v>240</v>
      </c>
      <c r="G29" s="20" t="s">
        <v>51</v>
      </c>
      <c r="H29" s="19">
        <f>SUMIF(B3:B48,G29,C3:C48)</f>
        <v>5</v>
      </c>
    </row>
    <row r="30" spans="1:8" x14ac:dyDescent="0.25">
      <c r="A30" s="31" t="s">
        <v>35</v>
      </c>
      <c r="B30" s="31" t="s">
        <v>50</v>
      </c>
      <c r="C30" s="31">
        <v>7</v>
      </c>
      <c r="D30" s="33">
        <v>28.3</v>
      </c>
      <c r="E30" s="34">
        <f t="shared" si="0"/>
        <v>198.1</v>
      </c>
      <c r="G30" s="43" t="s">
        <v>48</v>
      </c>
      <c r="H30" s="43">
        <f>SUMIF(B3:B48,G30,C3:C48)</f>
        <v>20</v>
      </c>
    </row>
    <row r="31" spans="1:8" x14ac:dyDescent="0.25">
      <c r="A31" s="17" t="s">
        <v>42</v>
      </c>
      <c r="B31" s="17" t="s">
        <v>46</v>
      </c>
      <c r="C31" s="17">
        <v>1</v>
      </c>
      <c r="D31" s="12">
        <v>735</v>
      </c>
      <c r="E31" s="13">
        <f t="shared" si="0"/>
        <v>735</v>
      </c>
      <c r="G31" s="20" t="s">
        <v>52</v>
      </c>
      <c r="H31" s="19">
        <f>SUMIF(B3:B48,G31,C3:C48)</f>
        <v>4</v>
      </c>
    </row>
    <row r="32" spans="1:8" x14ac:dyDescent="0.25">
      <c r="A32" s="31" t="s">
        <v>37</v>
      </c>
      <c r="B32" s="31" t="s">
        <v>48</v>
      </c>
      <c r="C32" s="31">
        <v>6</v>
      </c>
      <c r="D32" s="33">
        <v>3.8</v>
      </c>
      <c r="E32" s="34">
        <f t="shared" si="0"/>
        <v>22.799999999999997</v>
      </c>
      <c r="G32" s="43" t="s">
        <v>61</v>
      </c>
      <c r="H32" s="43">
        <f>SUMIF(B3:B48,G32,C3:C48)</f>
        <v>10</v>
      </c>
    </row>
    <row r="33" spans="1:8" x14ac:dyDescent="0.25">
      <c r="A33" s="17" t="s">
        <v>40</v>
      </c>
      <c r="B33" s="17" t="s">
        <v>49</v>
      </c>
      <c r="C33" s="17">
        <v>1</v>
      </c>
      <c r="D33" s="12">
        <v>380</v>
      </c>
      <c r="E33" s="13">
        <f t="shared" si="0"/>
        <v>380</v>
      </c>
      <c r="G33" s="20" t="s">
        <v>52</v>
      </c>
      <c r="H33" s="19">
        <f>SUMIF(B3:B48,G33,C3:C48)</f>
        <v>4</v>
      </c>
    </row>
    <row r="34" spans="1:8" x14ac:dyDescent="0.25">
      <c r="A34" s="31" t="s">
        <v>42</v>
      </c>
      <c r="B34" s="31" t="s">
        <v>52</v>
      </c>
      <c r="C34" s="31">
        <v>3</v>
      </c>
      <c r="D34" s="33">
        <v>645</v>
      </c>
      <c r="E34" s="34">
        <f t="shared" si="0"/>
        <v>1935</v>
      </c>
      <c r="G34" s="43" t="s">
        <v>50</v>
      </c>
      <c r="H34" s="43">
        <f>SUMIF(B3:B48,G34,C3:C48)</f>
        <v>12</v>
      </c>
    </row>
    <row r="35" spans="1:8" x14ac:dyDescent="0.25">
      <c r="A35" s="17" t="s">
        <v>41</v>
      </c>
      <c r="B35" s="17" t="s">
        <v>49</v>
      </c>
      <c r="C35" s="17">
        <v>2</v>
      </c>
      <c r="D35" s="12">
        <v>15.5</v>
      </c>
      <c r="E35" s="13">
        <f t="shared" si="0"/>
        <v>31</v>
      </c>
      <c r="G35" s="20" t="s">
        <v>49</v>
      </c>
      <c r="H35" s="19">
        <f>SUMIF(B3:B48,G35,C3:C48)</f>
        <v>10</v>
      </c>
    </row>
    <row r="36" spans="1:8" x14ac:dyDescent="0.25">
      <c r="A36" s="31" t="s">
        <v>35</v>
      </c>
      <c r="B36" s="31" t="s">
        <v>51</v>
      </c>
      <c r="C36" s="31">
        <v>3</v>
      </c>
      <c r="D36" s="33">
        <v>29.99</v>
      </c>
      <c r="E36" s="34">
        <f t="shared" si="0"/>
        <v>89.97</v>
      </c>
      <c r="G36" s="43" t="s">
        <v>55</v>
      </c>
      <c r="H36" s="43">
        <f>SUMIF(B3:B48,G36,C3:C48)</f>
        <v>12</v>
      </c>
    </row>
    <row r="37" spans="1:8" x14ac:dyDescent="0.25">
      <c r="A37" s="17" t="s">
        <v>40</v>
      </c>
      <c r="B37" s="17" t="s">
        <v>51</v>
      </c>
      <c r="C37" s="17">
        <v>2</v>
      </c>
      <c r="D37" s="12">
        <v>340</v>
      </c>
      <c r="E37" s="13">
        <f t="shared" si="0"/>
        <v>680</v>
      </c>
    </row>
    <row r="38" spans="1:8" x14ac:dyDescent="0.25">
      <c r="A38" s="31" t="s">
        <v>39</v>
      </c>
      <c r="B38" s="31" t="s">
        <v>48</v>
      </c>
      <c r="C38" s="31">
        <v>2</v>
      </c>
      <c r="D38" s="33">
        <v>469.99</v>
      </c>
      <c r="E38" s="34">
        <f t="shared" si="0"/>
        <v>939.98</v>
      </c>
      <c r="G38" s="20" t="s">
        <v>71</v>
      </c>
      <c r="H38" s="19">
        <f>AVERAGE(H24:H36)</f>
        <v>12</v>
      </c>
    </row>
    <row r="39" spans="1:8" x14ac:dyDescent="0.25">
      <c r="A39" s="17" t="s">
        <v>38</v>
      </c>
      <c r="B39" s="17" t="s">
        <v>50</v>
      </c>
      <c r="C39" s="17">
        <v>2</v>
      </c>
      <c r="D39" s="12">
        <v>760.5</v>
      </c>
      <c r="E39" s="13">
        <f t="shared" si="0"/>
        <v>1521</v>
      </c>
      <c r="G39" s="43" t="s">
        <v>72</v>
      </c>
      <c r="H39" s="43">
        <f>MAX(H24:H36)</f>
        <v>20</v>
      </c>
    </row>
    <row r="40" spans="1:8" x14ac:dyDescent="0.25">
      <c r="A40" s="31" t="s">
        <v>37</v>
      </c>
      <c r="B40" s="31" t="s">
        <v>47</v>
      </c>
      <c r="C40" s="31">
        <v>6</v>
      </c>
      <c r="D40" s="33">
        <v>3.99</v>
      </c>
      <c r="E40" s="34">
        <f t="shared" si="0"/>
        <v>23.94</v>
      </c>
      <c r="G40" s="20" t="s">
        <v>73</v>
      </c>
      <c r="H40" s="19">
        <f>MIN(H24:H36)</f>
        <v>4</v>
      </c>
    </row>
    <row r="41" spans="1:8" x14ac:dyDescent="0.25">
      <c r="A41" s="17" t="s">
        <v>42</v>
      </c>
      <c r="B41" s="17" t="s">
        <v>49</v>
      </c>
      <c r="C41" s="17">
        <v>2</v>
      </c>
      <c r="D41" s="12">
        <v>634</v>
      </c>
      <c r="E41" s="13">
        <f t="shared" si="0"/>
        <v>1268</v>
      </c>
    </row>
    <row r="42" spans="1:8" x14ac:dyDescent="0.25">
      <c r="A42" s="31" t="s">
        <v>43</v>
      </c>
      <c r="B42" s="31" t="s">
        <v>47</v>
      </c>
      <c r="C42" s="31">
        <v>8</v>
      </c>
      <c r="D42" s="33">
        <v>95</v>
      </c>
      <c r="E42" s="34">
        <f t="shared" si="0"/>
        <v>760</v>
      </c>
    </row>
    <row r="43" spans="1:8" x14ac:dyDescent="0.25">
      <c r="A43" s="17" t="s">
        <v>53</v>
      </c>
      <c r="B43" s="17" t="s">
        <v>46</v>
      </c>
      <c r="C43" s="17">
        <v>1</v>
      </c>
      <c r="D43" s="12">
        <v>58</v>
      </c>
      <c r="E43" s="13">
        <f t="shared" si="0"/>
        <v>58</v>
      </c>
      <c r="G43" s="30"/>
      <c r="H43" s="27"/>
    </row>
    <row r="44" spans="1:8" x14ac:dyDescent="0.25">
      <c r="A44" s="31" t="s">
        <v>54</v>
      </c>
      <c r="B44" s="31" t="s">
        <v>55</v>
      </c>
      <c r="C44" s="31">
        <v>8</v>
      </c>
      <c r="D44" s="33">
        <v>6.5</v>
      </c>
      <c r="E44" s="34">
        <f t="shared" si="0"/>
        <v>52</v>
      </c>
    </row>
    <row r="45" spans="1:8" x14ac:dyDescent="0.25">
      <c r="A45" s="17" t="s">
        <v>54</v>
      </c>
      <c r="B45" s="17" t="s">
        <v>44</v>
      </c>
      <c r="C45" s="17">
        <v>1</v>
      </c>
      <c r="D45" s="12">
        <v>5.6</v>
      </c>
      <c r="E45" s="13">
        <f t="shared" si="0"/>
        <v>5.6</v>
      </c>
    </row>
    <row r="46" spans="1:8" x14ac:dyDescent="0.25">
      <c r="A46" s="31" t="s">
        <v>56</v>
      </c>
      <c r="B46" s="31" t="s">
        <v>55</v>
      </c>
      <c r="C46" s="31">
        <v>1</v>
      </c>
      <c r="D46" s="33">
        <v>3600</v>
      </c>
      <c r="E46" s="34">
        <f t="shared" si="0"/>
        <v>3600</v>
      </c>
    </row>
    <row r="47" spans="1:8" x14ac:dyDescent="0.25">
      <c r="A47" s="17" t="s">
        <v>57</v>
      </c>
      <c r="B47" s="17" t="s">
        <v>55</v>
      </c>
      <c r="C47" s="17">
        <v>1</v>
      </c>
      <c r="D47" s="12">
        <v>35</v>
      </c>
      <c r="E47" s="13">
        <f t="shared" si="0"/>
        <v>35</v>
      </c>
    </row>
    <row r="48" spans="1:8" x14ac:dyDescent="0.25">
      <c r="A48" s="31" t="s">
        <v>58</v>
      </c>
      <c r="B48" s="31" t="s">
        <v>55</v>
      </c>
      <c r="C48" s="31">
        <v>2</v>
      </c>
      <c r="D48" s="33">
        <v>20</v>
      </c>
      <c r="E48" s="34">
        <f t="shared" si="0"/>
        <v>40</v>
      </c>
    </row>
    <row r="51" spans="1:5" x14ac:dyDescent="0.25">
      <c r="A51" s="44" t="s">
        <v>62</v>
      </c>
      <c r="B51" s="45"/>
      <c r="D51" s="51" t="s">
        <v>63</v>
      </c>
      <c r="E51" s="51"/>
    </row>
    <row r="52" spans="1:5" x14ac:dyDescent="0.25">
      <c r="A52" s="46" t="s">
        <v>35</v>
      </c>
      <c r="B52" s="47">
        <f>SUMIF(A3:A48,A52,E3:E48)</f>
        <v>831.44</v>
      </c>
      <c r="D52" s="52" t="s">
        <v>35</v>
      </c>
      <c r="E52" s="52">
        <f>SUMIF(A3:A48,D52,C3:C48)</f>
        <v>28</v>
      </c>
    </row>
    <row r="53" spans="1:5" x14ac:dyDescent="0.25">
      <c r="A53" s="35" t="s">
        <v>36</v>
      </c>
      <c r="B53" s="36">
        <f>SUMIF(A3:A48,A53,E3:E48)</f>
        <v>15</v>
      </c>
      <c r="D53" s="17" t="s">
        <v>36</v>
      </c>
      <c r="E53" s="17">
        <f>SUMIF(A3:A48,D53,E3:E48)</f>
        <v>15</v>
      </c>
    </row>
    <row r="54" spans="1:5" x14ac:dyDescent="0.25">
      <c r="A54" s="46" t="s">
        <v>37</v>
      </c>
      <c r="B54" s="47">
        <f>SUMIF(A3:A48,A54,E3:E48)</f>
        <v>141.49</v>
      </c>
      <c r="D54" s="52" t="s">
        <v>37</v>
      </c>
      <c r="E54" s="52">
        <f>SUMIF(A3:A48,D54,C3:C48)</f>
        <v>39</v>
      </c>
    </row>
    <row r="55" spans="1:5" x14ac:dyDescent="0.25">
      <c r="A55" s="17" t="s">
        <v>38</v>
      </c>
      <c r="B55" s="12">
        <f>SUMIF(A3:A48,A55,E3:E48)</f>
        <v>8453.65</v>
      </c>
      <c r="D55" s="17" t="s">
        <v>38</v>
      </c>
      <c r="E55" s="17">
        <f>SUMIF(A3:A48,D55,C3:C48)</f>
        <v>7</v>
      </c>
    </row>
    <row r="56" spans="1:5" x14ac:dyDescent="0.25">
      <c r="A56" s="46" t="s">
        <v>39</v>
      </c>
      <c r="B56" s="47">
        <f>SUMIF(A3:A48,A56,E3:E48)</f>
        <v>5579.98</v>
      </c>
      <c r="D56" s="52" t="s">
        <v>39</v>
      </c>
      <c r="E56" s="52">
        <f>SUMIF(A3:A48,D56,C3:C48)</f>
        <v>12</v>
      </c>
    </row>
    <row r="57" spans="1:5" x14ac:dyDescent="0.25">
      <c r="A57" s="17" t="s">
        <v>40</v>
      </c>
      <c r="B57" s="12">
        <f>SUMIF(A3:A48,A57,E3:E48)</f>
        <v>3126</v>
      </c>
      <c r="D57" s="17" t="s">
        <v>40</v>
      </c>
      <c r="E57" s="17">
        <f>SUMIF(A3:A48,D57,C3:C48)</f>
        <v>9</v>
      </c>
    </row>
    <row r="58" spans="1:5" x14ac:dyDescent="0.25">
      <c r="A58" s="46" t="s">
        <v>41</v>
      </c>
      <c r="B58" s="47">
        <f>SUMIF(A3:A48,A58,E3:E48)</f>
        <v>144</v>
      </c>
      <c r="D58" s="52" t="s">
        <v>41</v>
      </c>
      <c r="E58" s="52">
        <f>SUMIF(A3:A48,D58,C3:C48)</f>
        <v>9</v>
      </c>
    </row>
    <row r="59" spans="1:5" x14ac:dyDescent="0.25">
      <c r="A59" s="17" t="s">
        <v>58</v>
      </c>
      <c r="B59" s="12">
        <f>SUMIF(A3:A48,A59,E3:E48)</f>
        <v>40</v>
      </c>
      <c r="D59" s="17" t="s">
        <v>58</v>
      </c>
      <c r="E59" s="17">
        <f>SUMIF(A3:A48,D59,C3:C48)</f>
        <v>2</v>
      </c>
    </row>
    <row r="60" spans="1:5" x14ac:dyDescent="0.25">
      <c r="A60" s="46" t="s">
        <v>57</v>
      </c>
      <c r="B60" s="47">
        <f>SUMIF(A3:A48,A60,E3:E48)</f>
        <v>35</v>
      </c>
      <c r="D60" s="52" t="s">
        <v>57</v>
      </c>
      <c r="E60" s="52">
        <f>SUMIF(A3:A48,D60,C3:C48)</f>
        <v>1</v>
      </c>
    </row>
    <row r="61" spans="1:5" x14ac:dyDescent="0.25">
      <c r="A61" s="17" t="s">
        <v>56</v>
      </c>
      <c r="B61" s="12">
        <f>SUMIF(A3:A48,A61,E3:E48)</f>
        <v>3600</v>
      </c>
      <c r="D61" s="17" t="s">
        <v>56</v>
      </c>
      <c r="E61" s="17">
        <f>SUMIF(A3:A48,D61,C3:C48)</f>
        <v>1</v>
      </c>
    </row>
    <row r="62" spans="1:5" x14ac:dyDescent="0.25">
      <c r="A62" s="46" t="s">
        <v>54</v>
      </c>
      <c r="B62" s="47">
        <f>SUMIF(A3:A48,A62,E3:E48)</f>
        <v>57.6</v>
      </c>
      <c r="D62" s="52" t="s">
        <v>54</v>
      </c>
      <c r="E62" s="52">
        <f>SUMIF(A3:A48,D62,C3:C48)</f>
        <v>9</v>
      </c>
    </row>
    <row r="63" spans="1:5" x14ac:dyDescent="0.25">
      <c r="A63" s="17" t="s">
        <v>53</v>
      </c>
      <c r="B63" s="12">
        <f>SUMIF(A3:A48,A63,E3:E48)</f>
        <v>58</v>
      </c>
      <c r="D63" s="17" t="s">
        <v>53</v>
      </c>
      <c r="E63" s="17">
        <f>SUMIF(A3:A48,D63,C3:C48)</f>
        <v>1</v>
      </c>
    </row>
    <row r="64" spans="1:5" x14ac:dyDescent="0.25">
      <c r="A64" s="46" t="s">
        <v>43</v>
      </c>
      <c r="B64" s="47">
        <f>SUMIF(A3:A48,A64,E3:E48)</f>
        <v>1801</v>
      </c>
      <c r="D64" s="52" t="s">
        <v>43</v>
      </c>
      <c r="E64" s="52">
        <f>SUMIF(A3:A48,D64,C3:C48)</f>
        <v>19</v>
      </c>
    </row>
    <row r="65" spans="1:5" x14ac:dyDescent="0.25">
      <c r="A65" s="17" t="s">
        <v>42</v>
      </c>
      <c r="B65" s="12">
        <f>SUMIF(A3:A48,A65,E3:E48)</f>
        <v>5891</v>
      </c>
      <c r="D65" s="17" t="s">
        <v>42</v>
      </c>
      <c r="E65" s="17">
        <f>SUMIF(A3:A48,D65,C3:C48)</f>
        <v>9</v>
      </c>
    </row>
    <row r="67" spans="1:5" x14ac:dyDescent="0.25">
      <c r="A67" s="46" t="s">
        <v>64</v>
      </c>
      <c r="B67" s="48">
        <f>AVERAGE(D3:D48)</f>
        <v>376.03391304347821</v>
      </c>
    </row>
    <row r="68" spans="1:5" x14ac:dyDescent="0.25">
      <c r="A68" s="18" t="s">
        <v>66</v>
      </c>
      <c r="B68" s="29">
        <f>MAX(D3:D48)</f>
        <v>3600</v>
      </c>
    </row>
    <row r="69" spans="1:5" x14ac:dyDescent="0.25">
      <c r="A69" s="49" t="s">
        <v>65</v>
      </c>
      <c r="B69" s="50">
        <f>MIN(D3:D48)</f>
        <v>2.5</v>
      </c>
    </row>
  </sheetData>
  <mergeCells count="5">
    <mergeCell ref="G2:H2"/>
    <mergeCell ref="G23:H23"/>
    <mergeCell ref="A1:E1"/>
    <mergeCell ref="A51:B51"/>
    <mergeCell ref="D51:E5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Turma Noite</dc:creator>
  <cp:lastModifiedBy>Turma Noite</cp:lastModifiedBy>
  <dcterms:created xsi:type="dcterms:W3CDTF">2022-03-16T23:49:36Z</dcterms:created>
  <dcterms:modified xsi:type="dcterms:W3CDTF">2022-03-22T00:48:07Z</dcterms:modified>
</cp:coreProperties>
</file>